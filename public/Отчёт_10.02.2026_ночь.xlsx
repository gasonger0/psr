
<file path=[Content_Types].xml><?xml version="1.0" encoding="utf-8"?>
<Types xmlns="http://schemas.openxmlformats.org/package/2006/content-types">
  <Override PartName="/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_rels/.rels" ContentType="application/vnd.openxmlformats-package.relationships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
<Relationship Id="rId1" Type="http://schemas.openxmlformats.org/officeDocument/2006/relationships/officeDocument" Target="xl/workbook.xml"/>
<Relationship Id="rId2" Type="http://schemas.openxmlformats.org/package/2006/relationships/metadata/core-properties" Target="docProps/core.xml"/>
<Relationship Id="rId3" Type="http://schemas.openxmlformats.org/officeDocument/2006/relationships/extended-properties" Target="docProps/app.xml"/>
</Relationships>
</file>

<file path=xl/workbook.xml><?xml version="1.0" encoding="utf-8"?>
<workbook xmlns="http://schemas.openxmlformats.org/spreadsheetml/2006/main" xmlns:r="http://schemas.openxmlformats.org/officeDocument/2006/relationships">
  <fileVersion appName="Shuchkin\SimpleXLSXGen"/>
  <sheets>
    <sheet name="Sheet1" sheetId="1" r:id="rId1"/>
  </sheets>
</workbook>
</file>

<file path=xl/sharedStrings.xml><?xml version="1.0" encoding="utf-8"?>
<sst xmlns="http://schemas.openxmlformats.org/spreadsheetml/2006/main" count="38" uniqueCount="38">
  <si>
    <t>Наряд за</t>
  </si>
  <si>
    <t>10.02.2026_ночь</t>
  </si>
  <si>
    <t>Список рабочих</t>
  </si>
  <si>
    <t>Отработано часов по плану</t>
  </si>
  <si>
    <t>Отработано часов по факту</t>
  </si>
  <si>
    <t>Простои</t>
  </si>
  <si>
    <t>Итого часов</t>
  </si>
  <si>
    <t>КТУ</t>
  </si>
  <si>
    <t>Итого часов с КТУ</t>
  </si>
  <si>
    <t>Примечание</t>
  </si>
  <si>
    <t>Тоннаж (чел-часы)</t>
  </si>
  <si>
    <t>Первая фис машина</t>
  </si>
  <si>
    <t>ТОННАЖ ПЛАН</t>
  </si>
  <si>
    <t>Муминова Садокат Муроджоновна</t>
  </si>
  <si>
    <t>Андреева Алина Николаевна</t>
  </si>
  <si>
    <t>ТОННАЖ ФАКТ</t>
  </si>
  <si>
    <t>Атахонова Хаётхон Гуломжоновна</t>
  </si>
  <si>
    <t>Бекчанова Манзура Алимбаевна</t>
  </si>
  <si>
    <t>ОТКЛОНЕНИЕ</t>
  </si>
  <si>
    <t>ИТОГО</t>
  </si>
  <si>
    <t>FLOY PAK 7 с апликатором</t>
  </si>
  <si>
    <t>Демьянов Станислав Владимирович</t>
  </si>
  <si>
    <t>НЕПРЕРЫВНАЯ ЛИНИЯ №2 - Шоколадная линия 2</t>
  </si>
  <si>
    <t>Мухсинжонова</t>
  </si>
  <si>
    <t>ИТОГО ПО ЗАДАНИЮ</t>
  </si>
  <si>
    <t>ИТОГО ПО РАСПИСАННЫМ ЛЮДЯМ</t>
  </si>
  <si>
    <t>КОМПАНИИ</t>
  </si>
  <si>
    <t>Тоннаж</t>
  </si>
  <si>
    <t>Сокол</t>
  </si>
  <si>
    <t>Альфа-Старт</t>
  </si>
  <si>
    <t>ИП Данилина</t>
  </si>
  <si>
    <t>ИП Креминский</t>
  </si>
  <si>
    <t>ИП Роганов</t>
  </si>
  <si>
    <t>Заместитель генерального директора</t>
  </si>
  <si>
    <t>Корнилова Л.А.</t>
  </si>
  <si>
    <t>Начальник производства</t>
  </si>
  <si>
    <t>Начальник смены</t>
  </si>
  <si>
    <t>Мастер варки</t>
  </si>
</sst>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[$$-1]#,##0.00"/>
    <numFmt numFmtId="166" formatCode="#,##0.00\ [$€-1]"/>
  </numFmts>
  <fonts count="2">
    <font>
      <name val="Calibri"/>
      <family val="2"/>
      <sz val="10"/>
    </font>
    <font>
      <name val="Calibri"/>
      <family val="2"/>
      <sz val="10"/>
      <b/>
      <i/>
    </font>
  </fonts>
  <fills count="5">
    <fill>
      <patternFill patternType="none"/>
    </fill>
    <fill>
      <patternFill patternType="gray125"/>
    </fill>
    <fill>
      <patternFill patternType="solid">
        <fgColor rgb="FF2E81F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167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1" borderId="0" xfId="0" applyFill="1"/>
    <xf numFmtId="0" fontId="1" fillId="0" borderId="0" xfId="0" applyFont="1"/>
    <xf numFmtId="0" fontId="0" fillId="2" borderId="0" xfId="0" applyFill="1"/>
    <xf numFmtId="2" fontId="0" fillId="0" borderId="0" xfId="0" applyNumberFormat="1"/>
    <xf numFmtId="0" fontId="0" fillId="3" borderId="0" xfId="0" applyFill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3"/>
  <cols>
    <col min="1" max="1" width="42" customWidth="1"/>
    <col min="2" max="2" width="26" customWidth="1"/>
    <col min="3" max="3" width="26" customWidth="1"/>
    <col min="4" max="4" width="8" customWidth="1"/>
    <col min="5" max="5" width="12" customWidth="1"/>
    <col min="6" max="6" width="8" customWidth="1"/>
    <col min="7" max="7" width="18" customWidth="1"/>
    <col min="8" max="8" width="12" customWidth="1"/>
    <col min="9" max="9" width="18" customWidth="1"/>
  </cols>
  <sheetData>
    <row r="1">
      <c r="A1" t="s" s="2">
        <v>0</v>
      </c>
      <c r="B1" t="s">
        <v>1</v>
      </c>
      <c r="C1"/>
      <c r="D1"/>
      <c r="E1"/>
      <c r="F1"/>
      <c r="G1"/>
      <c r="H1"/>
    </row>
    <row r="2">
      <c r="A2"/>
      <c r="B2"/>
      <c r="C2"/>
      <c r="D2"/>
      <c r="E2"/>
      <c r="F2"/>
      <c r="G2"/>
      <c r="H2"/>
    </row>
    <row r="3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</row>
    <row r="4">
      <c r="A4" t="s" s="3">
        <v>11</v>
      </c>
      <c r="B4"/>
      <c r="C4"/>
      <c r="D4"/>
      <c r="E4"/>
      <c r="F4"/>
      <c r="G4"/>
      <c r="H4" t="s">
        <v>12</v>
      </c>
      <c r="I4">
        <v>540</v>
      </c>
    </row>
    <row r="5">
      <c r="A5" t="s">
        <v>13</v>
      </c>
      <c r="B5" s="4">
        <v>21.27</v>
      </c>
      <c r="C5">
        <v>0</v>
      </c>
      <c r="D5" s="4">
        <v>0.00</v>
      </c>
      <c r="E5" t="str">
        <f>=C5 - D5</f>
        <v>formula</v>
      </c>
      <c r="F5">
        <v>1</v>
      </c>
      <c r="G5" t="str">
        <f>=E5 * F5</f>
        <v>formula</v>
      </c>
      <c r="H5">
        <v>1995</v>
      </c>
    </row>
    <row r="6">
      <c r="A6" t="s">
        <v>14</v>
      </c>
      <c r="B6" s="4">
        <v>4.40</v>
      </c>
      <c r="C6">
        <v>0</v>
      </c>
      <c r="D6" s="4">
        <v>0.00</v>
      </c>
      <c r="E6" t="str">
        <f>=C6 - D6</f>
        <v>formula</v>
      </c>
      <c r="F6">
        <v>1</v>
      </c>
      <c r="G6" t="str">
        <f>=E6 * F6</f>
        <v>formula</v>
      </c>
      <c r="H6" t="s">
        <v>15</v>
      </c>
    </row>
    <row r="7">
      <c r="A7" t="s">
        <v>16</v>
      </c>
      <c r="B7" s="4">
        <v>4.40</v>
      </c>
      <c r="C7">
        <v>0</v>
      </c>
      <c r="D7" s="4">
        <v>0.00</v>
      </c>
      <c r="E7" t="str">
        <f>=C7 - D7</f>
        <v>formula</v>
      </c>
      <c r="F7">
        <v>1</v>
      </c>
      <c r="G7" t="str">
        <f>=E7 * F7</f>
        <v>formula</v>
      </c>
    </row>
    <row r="8">
      <c r="A8" t="s">
        <v>17</v>
      </c>
      <c r="B8" s="4">
        <v>4.40</v>
      </c>
      <c r="C8">
        <v>0</v>
      </c>
      <c r="D8" s="4">
        <v>0.00</v>
      </c>
      <c r="E8" t="str">
        <f>=C8 - D8</f>
        <v>formula</v>
      </c>
      <c r="F8">
        <v>1</v>
      </c>
      <c r="G8" t="str">
        <f>=E8 * F8</f>
        <v>formula</v>
      </c>
      <c r="H8" t="s">
        <v>18</v>
      </c>
    </row>
    <row r="9">
      <c r="A9" t="s">
        <v>14</v>
      </c>
      <c r="B9" s="4">
        <v>2.90</v>
      </c>
      <c r="C9">
        <v>0</v>
      </c>
      <c r="D9" s="4">
        <v>0.00</v>
      </c>
      <c r="E9" t="str">
        <f>=C9 - D9</f>
        <v>formula</v>
      </c>
      <c r="F9">
        <v>1</v>
      </c>
      <c r="G9" t="str">
        <f>=E9 * F9</f>
        <v>formula</v>
      </c>
      <c r="H9" t="str">
        <f>=H5-H7</f>
        <v>formula</v>
      </c>
    </row>
    <row r="10">
      <c r="A10" t="s" s="5">
        <v>19</v>
      </c>
      <c r="B10" t="str" s="5">
        <f>=SUM(B5:B9)</f>
        <v>formula</v>
      </c>
      <c r="C10" t="str" s="5">
        <f>=SUM(C5:C9)</f>
        <v>formula</v>
      </c>
      <c r="D10" t="str" s="5">
        <f>=SUM(D5:D9)</f>
        <v>formula</v>
      </c>
      <c r="E10" t="str" s="5">
        <f>=SUM(E5:E9)</f>
        <v>formula</v>
      </c>
      <c r="F10"/>
      <c r="G10" t="str" s="5">
        <f>=SUM(G5:G9)</f>
        <v>formula</v>
      </c>
    </row>
    <row r="11">
      <c r="A11" t="s" s="6">
        <v>20</v>
      </c>
      <c r="B11"/>
      <c r="C11"/>
      <c r="D11"/>
      <c r="E11"/>
      <c r="F11"/>
      <c r="G11"/>
      <c r="H11"/>
      <c r="I11"/>
    </row>
    <row r="12">
      <c r="A12" t="s">
        <v>21</v>
      </c>
      <c r="B12" s="4">
        <v>0.42</v>
      </c>
      <c r="C12">
        <v>0</v>
      </c>
      <c r="D12" s="4">
        <v>0.00</v>
      </c>
      <c r="E12" t="str">
        <f>=C12 - D12</f>
        <v>formula</v>
      </c>
      <c r="F12">
        <v>1</v>
      </c>
      <c r="G12" t="str">
        <f>=E12 * F12</f>
        <v>formula</v>
      </c>
    </row>
    <row r="13">
      <c r="A13" t="s">
        <v>13</v>
      </c>
      <c r="B13" s="4">
        <v>0.15</v>
      </c>
      <c r="C13">
        <v>0</v>
      </c>
      <c r="D13" s="4">
        <v>0.00</v>
      </c>
      <c r="E13" t="str">
        <f>=C13 - D13</f>
        <v>formula</v>
      </c>
      <c r="F13">
        <v>1</v>
      </c>
      <c r="G13" t="str">
        <f>=E13 * F13</f>
        <v>formula</v>
      </c>
    </row>
    <row r="14">
      <c r="A14" t="s" s="5">
        <v>19</v>
      </c>
      <c r="B14" t="str" s="5">
        <f>=SUM(B12:B13)</f>
        <v>formula</v>
      </c>
      <c r="C14" t="str" s="5">
        <f>=SUM(C12:C13)</f>
        <v>formula</v>
      </c>
      <c r="D14" t="str" s="5">
        <f>=SUM(D12:D13)</f>
        <v>formula</v>
      </c>
      <c r="E14" t="str" s="5">
        <f>=SUM(E12:E13)</f>
        <v>formula</v>
      </c>
      <c r="F14"/>
      <c r="G14" t="str" s="5">
        <f>=SUM(G12:G13)</f>
        <v>formula</v>
      </c>
    </row>
    <row r="15">
      <c r="A15" t="s" s="6">
        <v>22</v>
      </c>
      <c r="B15"/>
      <c r="C15"/>
      <c r="D15"/>
      <c r="E15"/>
      <c r="F15"/>
      <c r="G15"/>
      <c r="H15"/>
      <c r="I15">
        <v>350</v>
      </c>
    </row>
    <row r="16">
      <c r="A16" t="s">
        <v>23</v>
      </c>
      <c r="B16" s="4">
        <v>0.62</v>
      </c>
      <c r="C16">
        <v>0</v>
      </c>
      <c r="D16" s="4">
        <v>0.00</v>
      </c>
      <c r="E16" t="str">
        <f>=C16 - D16</f>
        <v>formula</v>
      </c>
      <c r="F16">
        <v>1</v>
      </c>
      <c r="G16" t="str">
        <f>=E16 * F16</f>
        <v>formula</v>
      </c>
    </row>
    <row r="17">
      <c r="A17" t="s">
        <v>21</v>
      </c>
      <c r="B17" s="4">
        <v>0.05</v>
      </c>
      <c r="C17">
        <v>0</v>
      </c>
      <c r="D17" s="4">
        <v>0.00</v>
      </c>
      <c r="E17" t="str">
        <f>=C17 - D17</f>
        <v>formula</v>
      </c>
      <c r="F17">
        <v>1</v>
      </c>
      <c r="G17" t="str">
        <f>=E17 * F17</f>
        <v>formula</v>
      </c>
    </row>
    <row r="18">
      <c r="A18" t="s">
        <v>17</v>
      </c>
      <c r="B18" s="4">
        <v>0.07</v>
      </c>
      <c r="C18">
        <v>0</v>
      </c>
      <c r="D18" s="4">
        <v>0.00</v>
      </c>
      <c r="E18" t="str">
        <f>=C18 - D18</f>
        <v>formula</v>
      </c>
      <c r="F18">
        <v>1</v>
      </c>
      <c r="G18" t="str">
        <f>=E18 * F18</f>
        <v>formula</v>
      </c>
    </row>
    <row r="19">
      <c r="A19" t="s" s="5">
        <v>19</v>
      </c>
      <c r="B19" t="str" s="5">
        <f>=SUM(B16:B18)</f>
        <v>formula</v>
      </c>
      <c r="C19" t="str" s="5">
        <f>=SUM(C16:C18)</f>
        <v>formula</v>
      </c>
      <c r="D19" t="str" s="5">
        <f>=SUM(D16:D18)</f>
        <v>formula</v>
      </c>
      <c r="E19" t="str" s="5">
        <f>=SUM(E16:E18)</f>
        <v>formula</v>
      </c>
      <c r="F19"/>
      <c r="G19" t="str" s="5">
        <f>=SUM(G16:G18)</f>
        <v>formula</v>
      </c>
    </row>
    <row r="20">
      <c r="A20"/>
    </row>
    <row r="21">
      <c r="A21" t="s">
        <v>24</v>
      </c>
      <c r="B21" t="str">
        <f>=B4 + B11 + B15</f>
        <v>formula</v>
      </c>
      <c r="C21" t="str">
        <f>=C4 + C11 + C15</f>
        <v>formula</v>
      </c>
      <c r="D21" t="str">
        <f>=D4 + D11 + D15</f>
        <v>formula</v>
      </c>
      <c r="E21" t="str">
        <f>=E4 + E11 + E15</f>
        <v>formula</v>
      </c>
      <c r="F21" t="str">
        <f>=F4 + F11 + F15</f>
        <v>formula</v>
      </c>
      <c r="G21" t="str">
        <f>=G4 + G11 + G15</f>
        <v>formula</v>
      </c>
    </row>
    <row r="22">
      <c r="A22" t="s">
        <v>25</v>
      </c>
      <c r="B22" t="str">
        <f>=B10 + B14 + B19</f>
        <v>formula</v>
      </c>
      <c r="C22" t="str">
        <f>=C10 + C14 + C19</f>
        <v>formula</v>
      </c>
      <c r="D22" t="str">
        <f>=D10 + D14 + D19</f>
        <v>formula</v>
      </c>
      <c r="E22" t="str">
        <f>=E10 + E14 + E19</f>
        <v>formula</v>
      </c>
      <c r="F22" t="str">
        <f>=F10 + F14 + F19</f>
        <v>formula</v>
      </c>
      <c r="G22" t="str">
        <f>=G10 + G14 + G19</f>
        <v>formula</v>
      </c>
    </row>
    <row r="23"/>
    <row r="24">
      <c r="A24" t="s">
        <v>26</v>
      </c>
      <c r="B24" t="s">
        <v>3</v>
      </c>
      <c r="C24" t="s">
        <v>4</v>
      </c>
      <c r="D24" t="s">
        <v>5</v>
      </c>
      <c r="E24" t="s">
        <v>6</v>
      </c>
      <c r="F24" t="s">
        <v>7</v>
      </c>
      <c r="G24" t="s">
        <v>8</v>
      </c>
      <c r="H24" t="s">
        <v>27</v>
      </c>
    </row>
    <row r="25">
      <c r="A25" t="s">
        <v>28</v>
      </c>
      <c r="B25" t="str">
        <f>=(B5+B6+B7+B8+B9+B12+B13+B16+B17+B18)</f>
        <v>formula</v>
      </c>
      <c r="C25" t="str">
        <f>=(C5+C6+C7+C8+C9+C12+C13+C16+C17+C18)</f>
        <v>formula</v>
      </c>
      <c r="D25" t="str">
        <f>=(D5+D6+D7+D8+D9+D12+D13+D16+D17+D18)</f>
        <v>formula</v>
      </c>
      <c r="E25" t="str">
        <f>=(E5+E6+E7+E8+E9+E12+E13+E16+E17+E18)</f>
        <v>formula</v>
      </c>
      <c r="F25"/>
      <c r="G25" t="str">
        <f>=(G5+G6+G7+G8+G9+G12+G13+G16+G17+G18)</f>
        <v>formula</v>
      </c>
      <c r="H25" t="str">
        <f>=135/5*5+50/3*3</f>
        <v>formula</v>
      </c>
    </row>
    <row r="26">
      <c r="A26" t="s">
        <v>29</v>
      </c>
      <c r="B26"/>
      <c r="C26"/>
      <c r="D26"/>
      <c r="E26"/>
      <c r="F26"/>
      <c r="G26"/>
      <c r="H26"/>
    </row>
    <row r="27">
      <c r="A27" t="s">
        <v>30</v>
      </c>
      <c r="B27"/>
      <c r="C27"/>
      <c r="D27"/>
      <c r="E27"/>
      <c r="F27"/>
      <c r="G27"/>
      <c r="H27"/>
    </row>
    <row r="28">
      <c r="A28" t="s">
        <v>31</v>
      </c>
      <c r="B28"/>
      <c r="C28"/>
      <c r="D28"/>
      <c r="E28"/>
      <c r="F28"/>
      <c r="G28"/>
      <c r="H28"/>
    </row>
    <row r="29">
      <c r="A29" t="s">
        <v>32</v>
      </c>
      <c r="B29"/>
      <c r="C29"/>
      <c r="D29"/>
      <c r="E29"/>
      <c r="F29"/>
      <c r="G29"/>
      <c r="H29"/>
    </row>
    <row r="30">
      <c r="A30" t="s">
        <v>33</v>
      </c>
      <c r="B30"/>
      <c r="C30"/>
      <c r="D30"/>
      <c r="E30"/>
      <c r="F30"/>
      <c r="G30" t="s">
        <v>34</v>
      </c>
    </row>
    <row r="31">
      <c r="A31" t="s">
        <v>35</v>
      </c>
    </row>
    <row r="32">
      <c r="A32" t="s">
        <v>36</v>
      </c>
    </row>
    <row r="33">
      <c r="A33" t="s">
        <v>37</v>
      </c>
    </row>
  </sheetData>
</worksheet>
</file>

<file path=docProps/app.xml><?xml version="1.0" encoding="utf-8"?>
<Properties xmlns="http://schemas.openxmlformats.org/officeDocument/2006/extended-properties">
  <TotalTime>0</TotalTime>
  <Application>Shuchkin\SimpleXLSXGen</Application>
  <Company/>
  <Manager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2026-02-17T14:20:58Z</dcterms:created>
  <dc:title/>
  <dc:subject/>
  <dc:creator/>
  <cp:lastModifiedBy/>
  <cp:keywords/>
  <dc:description/>
  <cp:category/>
  <dc:language>en-US</dc:language>
  <dcterms:modified xsi:type="dcterms:W3CDTF">2026-02-17T14:20:58Z</dcterms:modified>
  <cp:revision>1</cp:revision>
</cp:coreProperties>
</file>