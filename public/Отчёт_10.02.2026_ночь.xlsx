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<sst xmlns="http://schemas.openxmlformats.org/spreadsheetml/2006/main" count="41" uniqueCount="41">
  <si>
    <t>Наряд за</t>
  </si>
  <si>
    <t>10.02.2026_ночь</t>
  </si>
  <si>
    <t>Список рабочих</t>
  </si>
  <si>
    <t>Отработано часов по плану</t>
  </si>
  <si>
    <t>Отработано часов по факту</t>
  </si>
  <si>
    <t>Простои</t>
  </si>
  <si>
    <t>Итого часов</t>
  </si>
  <si>
    <t>КТУ</t>
  </si>
  <si>
    <t>Итого часов с КТУ</t>
  </si>
  <si>
    <t>Примечание</t>
  </si>
  <si>
    <t>Первая фис машина</t>
  </si>
  <si>
    <t>ТОННАЖ ПЛАН</t>
  </si>
  <si>
    <t>Муминова Садокат Муроджоновна</t>
  </si>
  <si>
    <t>Алимов Ислом Шодмон угли</t>
  </si>
  <si>
    <t>ТОННАЖ ФАКТ</t>
  </si>
  <si>
    <t>Андреева Алина Николаевна</t>
  </si>
  <si>
    <t>Атахонова Хаётхон Гуломжоновна</t>
  </si>
  <si>
    <t>ОТКЛОНЕНИЕ</t>
  </si>
  <si>
    <t>ИТОГО</t>
  </si>
  <si>
    <t>FLOY PAK 7 с апликатором</t>
  </si>
  <si>
    <t>Демьянов Станислав Владимирович</t>
  </si>
  <si>
    <t>НЕПРЕРЫВНАЯ ЛИНИЯ №2 - Шоколадная линия 2</t>
  </si>
  <si>
    <t>Мухсинжонова</t>
  </si>
  <si>
    <t>Бекчанова Манзура Алимбаевна</t>
  </si>
  <si>
    <t>Алимардонова Саидахон</t>
  </si>
  <si>
    <t>ИТОГО ПО ЗАДАНИЮ</t>
  </si>
  <si>
    <t>ИТОГО ПО РАСПИСАННЫМ ЛЮДЯМ</t>
  </si>
  <si>
    <t>КОМПАНИИ</t>
  </si>
  <si>
    <t>Тоннаж (зефир)</t>
  </si>
  <si>
    <t>Тоннаж (конфеты)</t>
  </si>
  <si>
    <t>Тоннаж (суфле)</t>
  </si>
  <si>
    <t>Сокол</t>
  </si>
  <si>
    <t>Альфа-Старт</t>
  </si>
  <si>
    <t>ИП Данилина</t>
  </si>
  <si>
    <t>ИП Креминский</t>
  </si>
  <si>
    <t>ИП Роганов</t>
  </si>
  <si>
    <t>Заместитель генерального директора</t>
  </si>
  <si>
    <t>Корнилова Л.А.</t>
  </si>
  <si>
    <t>Начальник производства</t>
  </si>
  <si>
    <t>Начальник смены</t>
  </si>
  <si>
    <t>Мастер варки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</si>
</sst>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  <i/>
    </font>
  </fonts>
  <fills count="5">
    <fill>
      <patternFill patternType="none"/>
    </fill>
    <fill>
      <patternFill patternType="gray125"/>
    </fill>
    <fill>
      <patternFill patternType="solid">
        <fgColor rgb="FF2E81F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1677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1" borderId="0" xfId="0" applyFill="1"/>
    <xf numFmtId="0" fontId="1" fillId="0" borderId="0" xfId="0" applyFont="1"/>
    <xf numFmtId="0" fontId="0" fillId="2" borderId="0" xfId="0" applyFill="1"/>
    <xf numFmtId="2" fontId="0" fillId="0" borderId="0" xfId="0" applyNumberFormat="1"/>
    <xf numFmtId="0" fontId="0" fillId="3" borderId="0" xfId="0" applyFill="1"/>
    <xf numFmtId="0" fontId="0" fillId="4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6"/>
  <cols>
    <col min="1" max="1" width="42" customWidth="1"/>
    <col min="2" max="2" width="26" customWidth="1"/>
    <col min="3" max="3" width="26" customWidth="1"/>
    <col min="4" max="4" width="8" customWidth="1"/>
    <col min="5" max="5" width="12" customWidth="1"/>
    <col min="6" max="6" width="8" customWidth="1"/>
    <col min="7" max="7" width="18" customWidth="1"/>
    <col min="8" max="8" width="15" customWidth="1"/>
    <col min="9" max="9" width="17" customWidth="1"/>
    <col min="10" max="10" width="15" customWidth="1"/>
  </cols>
  <sheetData>
    <row r="1">
      <c r="A1" t="s" s="2">
        <v>0</v>
      </c>
      <c r="B1" t="s">
        <v>1</v>
      </c>
      <c r="C1"/>
      <c r="D1"/>
      <c r="E1"/>
      <c r="F1"/>
      <c r="G1"/>
      <c r="H1"/>
    </row>
    <row r="2">
      <c r="A2"/>
      <c r="B2"/>
      <c r="C2"/>
      <c r="D2"/>
      <c r="E2"/>
      <c r="F2"/>
      <c r="G2"/>
      <c r="H2"/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>
      <c r="A4" t="s" s="3">
        <v>10</v>
      </c>
      <c r="B4"/>
      <c r="C4"/>
      <c r="D4"/>
      <c r="E4"/>
      <c r="F4"/>
      <c r="G4"/>
      <c r="H4" t="s">
        <v>11</v>
      </c>
    </row>
    <row r="5">
      <c r="A5" t="s">
        <v>12</v>
      </c>
      <c r="B5" s="4">
        <v>21.27</v>
      </c>
      <c r="C5">
        <v>0</v>
      </c>
      <c r="D5" s="4">
        <v>0.00</v>
      </c>
      <c r="E5" t="str">
        <f>=C5 - D5</f>
        <v>formula</v>
      </c>
      <c r="F5">
        <v>1</v>
      </c>
      <c r="G5" t="str">
        <f>=E5 * F5</f>
        <v>formula</v>
      </c>
      <c r="H5">
        <v>3700</v>
      </c>
    </row>
    <row r="6">
      <c r="A6" t="s">
        <v>13</v>
      </c>
      <c r="B6" s="4">
        <v>16.08</v>
      </c>
      <c r="C6">
        <v>0</v>
      </c>
      <c r="D6" s="4">
        <v>0.00</v>
      </c>
      <c r="E6" t="str">
        <f>=C6 - D6</f>
        <v>formula</v>
      </c>
      <c r="F6">
        <v>1</v>
      </c>
      <c r="G6" t="str">
        <f>=E6 * F6</f>
        <v>formula</v>
      </c>
      <c r="H6" t="s">
        <v>14</v>
      </c>
    </row>
    <row r="7">
      <c r="A7" t="s">
        <v>15</v>
      </c>
      <c r="B7" s="4">
        <v>16.08</v>
      </c>
      <c r="C7">
        <v>0</v>
      </c>
      <c r="D7" s="4">
        <v>0.00</v>
      </c>
      <c r="E7" t="str">
        <f>=C7 - D7</f>
        <v>formula</v>
      </c>
      <c r="F7">
        <v>1</v>
      </c>
      <c r="G7" t="str">
        <f>=E7 * F7</f>
        <v>formula</v>
      </c>
    </row>
    <row r="8">
      <c r="A8" t="s">
        <v>16</v>
      </c>
      <c r="B8" s="4">
        <v>16.08</v>
      </c>
      <c r="C8">
        <v>0</v>
      </c>
      <c r="D8" s="4">
        <v>0.00</v>
      </c>
      <c r="E8" t="str">
        <f>=C8 - D8</f>
        <v>formula</v>
      </c>
      <c r="F8">
        <v>1</v>
      </c>
      <c r="G8" t="str">
        <f>=E8 * F8</f>
        <v>formula</v>
      </c>
      <c r="H8" t="s">
        <v>17</v>
      </c>
    </row>
    <row r="9">
      <c r="A9" t="s" s="5">
        <v>18</v>
      </c>
      <c r="B9" t="str" s="5">
        <f>=SUM(B5:B8)</f>
        <v>formula</v>
      </c>
      <c r="C9" t="str" s="5">
        <f>=SUM(C5:C8)</f>
        <v>formula</v>
      </c>
      <c r="D9" t="str" s="5">
        <f>=SUM(D5:D8)</f>
        <v>formula</v>
      </c>
      <c r="E9" t="str" s="5">
        <f>=SUM(E5:E8)</f>
        <v>formula</v>
      </c>
      <c r="F9"/>
      <c r="G9" t="str" s="5">
        <f>=SUM(G5:G8)</f>
        <v>formula</v>
      </c>
      <c r="H9" t="str">
        <f>=H5-H7</f>
        <v>formula</v>
      </c>
    </row>
    <row r="10">
      <c r="A10" t="s" s="6">
        <v>19</v>
      </c>
      <c r="B10"/>
      <c r="C10"/>
      <c r="D10"/>
      <c r="E10"/>
      <c r="F10"/>
      <c r="G10"/>
      <c r="H10"/>
    </row>
    <row r="11">
      <c r="A11" t="s">
        <v>20</v>
      </c>
      <c r="B11" s="4">
        <v>0.42</v>
      </c>
      <c r="C11">
        <v>0</v>
      </c>
      <c r="D11" s="4">
        <v>0.00</v>
      </c>
      <c r="E11" t="str">
        <f>=C11 - D11</f>
        <v>formula</v>
      </c>
      <c r="F11">
        <v>1</v>
      </c>
      <c r="G11" t="str">
        <f>=E11 * F11</f>
        <v>formula</v>
      </c>
    </row>
    <row r="12">
      <c r="A12" t="s">
        <v>12</v>
      </c>
      <c r="B12" s="4">
        <v>0.15</v>
      </c>
      <c r="C12">
        <v>0</v>
      </c>
      <c r="D12" s="4">
        <v>0.00</v>
      </c>
      <c r="E12" t="str">
        <f>=C12 - D12</f>
        <v>formula</v>
      </c>
      <c r="F12">
        <v>1</v>
      </c>
      <c r="G12" t="str">
        <f>=E12 * F12</f>
        <v>formula</v>
      </c>
    </row>
    <row r="13">
      <c r="A13" t="s" s="5">
        <v>18</v>
      </c>
      <c r="B13" t="str" s="5">
        <f>=SUM(B11:B12)</f>
        <v>formula</v>
      </c>
      <c r="C13" t="str" s="5">
        <f>=SUM(C11:C12)</f>
        <v>formula</v>
      </c>
      <c r="D13" t="str" s="5">
        <f>=SUM(D11:D12)</f>
        <v>formula</v>
      </c>
      <c r="E13" t="str" s="5">
        <f>=SUM(E11:E12)</f>
        <v>formula</v>
      </c>
      <c r="F13"/>
      <c r="G13" t="str" s="5">
        <f>=SUM(G11:G12)</f>
        <v>formula</v>
      </c>
    </row>
    <row r="14">
      <c r="A14" t="s" s="6">
        <v>21</v>
      </c>
      <c r="B14"/>
      <c r="C14"/>
      <c r="D14"/>
      <c r="E14"/>
      <c r="F14"/>
      <c r="G14"/>
      <c r="H14"/>
    </row>
    <row r="15">
      <c r="A15" t="s">
        <v>22</v>
      </c>
      <c r="B15" s="4">
        <v>0.62</v>
      </c>
      <c r="C15">
        <v>0</v>
      </c>
      <c r="D15" s="4">
        <v>0.00</v>
      </c>
      <c r="E15" t="str">
        <f>=C15 - D15</f>
        <v>formula</v>
      </c>
      <c r="F15">
        <v>1</v>
      </c>
      <c r="G15" t="str">
        <f>=E15 * F15</f>
        <v>formula</v>
      </c>
    </row>
    <row r="16">
      <c r="A16" t="s">
        <v>20</v>
      </c>
      <c r="B16" s="4">
        <v>0.05</v>
      </c>
      <c r="C16">
        <v>0</v>
      </c>
      <c r="D16" s="4">
        <v>0.00</v>
      </c>
      <c r="E16" t="str">
        <f>=C16 - D16</f>
        <v>formula</v>
      </c>
      <c r="F16">
        <v>1</v>
      </c>
      <c r="G16" t="str">
        <f>=E16 * F16</f>
        <v>formula</v>
      </c>
    </row>
    <row r="17">
      <c r="A17" t="s">
        <v>23</v>
      </c>
      <c r="B17" s="4">
        <v>0.07</v>
      </c>
      <c r="C17">
        <v>0</v>
      </c>
      <c r="D17" s="4">
        <v>0.00</v>
      </c>
      <c r="E17" t="str">
        <f>=C17 - D17</f>
        <v>formula</v>
      </c>
      <c r="F17">
        <v>1</v>
      </c>
      <c r="G17" t="str">
        <f>=E17 * F17</f>
        <v>formula</v>
      </c>
    </row>
    <row r="18">
      <c r="A18" t="s">
        <v>24</v>
      </c>
      <c r="B18" s="4">
        <v>4.13</v>
      </c>
      <c r="C18">
        <v>0</v>
      </c>
      <c r="D18" s="4">
        <v>0.00</v>
      </c>
      <c r="E18" t="str">
        <f>=C18 - D18</f>
        <v>formula</v>
      </c>
      <c r="F18">
        <v>1</v>
      </c>
      <c r="G18" t="str">
        <f>=E18 * F18</f>
        <v>formula</v>
      </c>
    </row>
    <row r="19">
      <c r="A19" t="s">
        <v>13</v>
      </c>
      <c r="B19" s="4">
        <v>4.13</v>
      </c>
      <c r="C19">
        <v>0</v>
      </c>
      <c r="D19" s="4">
        <v>0.00</v>
      </c>
      <c r="E19" t="str">
        <f>=C19 - D19</f>
        <v>formula</v>
      </c>
      <c r="F19">
        <v>1</v>
      </c>
      <c r="G19" t="str">
        <f>=E19 * F19</f>
        <v>formula</v>
      </c>
    </row>
    <row r="20">
      <c r="A20" t="s" s="5">
        <v>18</v>
      </c>
      <c r="B20" t="str" s="5">
        <f>=SUM(B15:B19)</f>
        <v>formula</v>
      </c>
      <c r="C20" t="str" s="5">
        <f>=SUM(C15:C19)</f>
        <v>formula</v>
      </c>
      <c r="D20" t="str" s="5">
        <f>=SUM(D15:D19)</f>
        <v>formula</v>
      </c>
      <c r="E20" t="str" s="5">
        <f>=SUM(E15:E19)</f>
        <v>formula</v>
      </c>
      <c r="F20"/>
      <c r="G20" t="str" s="5">
        <f>=SUM(G15:G19)</f>
        <v>formula</v>
      </c>
    </row>
    <row r="21">
      <c r="A21"/>
    </row>
    <row r="22">
      <c r="A22" t="s">
        <v>25</v>
      </c>
      <c r="B22" t="str">
        <f>=B4 + B10 + B14</f>
        <v>formula</v>
      </c>
      <c r="C22" t="str">
        <f>=C4 + C10 + C14</f>
        <v>formula</v>
      </c>
      <c r="D22" t="str">
        <f>=D4 + D10 + D14</f>
        <v>formula</v>
      </c>
      <c r="E22" t="str">
        <f>=E4 + E10 + E14</f>
        <v>formula</v>
      </c>
      <c r="F22" t="str">
        <f>=F4 + F10 + F14</f>
        <v>formula</v>
      </c>
      <c r="G22" t="str">
        <f>=G4 + G10 + G14</f>
        <v>formula</v>
      </c>
    </row>
    <row r="23">
      <c r="A23" t="s">
        <v>26</v>
      </c>
      <c r="B23" t="str">
        <f>=B9 + B13 + B20</f>
        <v>formula</v>
      </c>
      <c r="C23" t="str">
        <f>=C9 + C13 + C20</f>
        <v>formula</v>
      </c>
      <c r="D23" t="str">
        <f>=D9 + D13 + D20</f>
        <v>formula</v>
      </c>
      <c r="E23" t="str">
        <f>=E9 + E13 + E20</f>
        <v>formula</v>
      </c>
      <c r="F23" t="str">
        <f>=F9 + F13 + F20</f>
        <v>formula</v>
      </c>
      <c r="G23" t="str">
        <f>=G9 + G13 + G20</f>
        <v>formula</v>
      </c>
    </row>
    <row r="24"/>
    <row r="25">
      <c r="A25" t="s">
        <v>27</v>
      </c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28</v>
      </c>
      <c r="I25" t="s">
        <v>29</v>
      </c>
      <c r="J25" t="s">
        <v>30</v>
      </c>
    </row>
    <row r="26">
      <c r="A26" t="s">
        <v>31</v>
      </c>
      <c r="B26" t="str">
        <f>=(B5+B6+B7+B8+B11+B12+B15+B16+B17+B18+B19)</f>
        <v>formula</v>
      </c>
      <c r="C26" t="str">
        <f>=(C5+C6+C7+C8+C11+C12+C15+C16+C17+C18+C19)</f>
        <v>formula</v>
      </c>
      <c r="D26" t="str">
        <f>=(D5+D6+D7+D8+D11+D12+D15+D16+D17+D18+D19)</f>
        <v>formula</v>
      </c>
      <c r="E26" t="str">
        <f>=(E5+E6+E7+E8+E11+E12+E15+E16+E17+E18+E19)</f>
        <v>formula</v>
      </c>
      <c r="F26"/>
      <c r="G26" t="str">
        <f>=(G5+G6+G7+G8+G11+G12+G15+G16+G17+G18+G19)</f>
        <v>formula</v>
      </c>
      <c r="H26" t="str">
        <f>=720/4*4+720/5*5</f>
        <v>formula</v>
      </c>
      <c r="I26" t="str">
        <f>=0/4*4+0/5*5</f>
        <v>formula</v>
      </c>
      <c r="J26" t="str">
        <f>=0/4*4+0/5*5</f>
        <v>formula</v>
      </c>
    </row>
    <row r="27">
      <c r="A27" t="s">
        <v>32</v>
      </c>
      <c r="B27"/>
      <c r="C27"/>
      <c r="D27"/>
      <c r="E27"/>
      <c r="F27"/>
      <c r="G27"/>
      <c r="H27"/>
      <c r="I27"/>
      <c r="J27"/>
    </row>
    <row r="28">
      <c r="A28" t="s">
        <v>33</v>
      </c>
      <c r="B28"/>
      <c r="C28"/>
      <c r="D28"/>
      <c r="E28"/>
      <c r="F28"/>
      <c r="G28"/>
      <c r="H28"/>
      <c r="I28"/>
      <c r="J28"/>
    </row>
    <row r="29">
      <c r="A29" t="s">
        <v>34</v>
      </c>
      <c r="B29"/>
      <c r="C29"/>
      <c r="D29"/>
      <c r="E29"/>
      <c r="F29"/>
      <c r="G29"/>
      <c r="H29"/>
      <c r="I29"/>
      <c r="J29"/>
    </row>
    <row r="30">
      <c r="A30" t="s">
        <v>35</v>
      </c>
      <c r="B30"/>
      <c r="C30"/>
      <c r="D30"/>
      <c r="E30"/>
      <c r="F30"/>
      <c r="G30"/>
      <c r="H30"/>
      <c r="I30"/>
      <c r="J30"/>
    </row>
    <row r="31"/>
    <row r="32"/>
    <row r="33">
      <c r="A33" t="s">
        <v>36</v>
      </c>
      <c r="B33"/>
      <c r="C33"/>
      <c r="D33"/>
      <c r="E33"/>
      <c r="F33"/>
      <c r="G33" t="s">
        <v>37</v>
      </c>
    </row>
    <row r="34">
      <c r="A34" t="s">
        <v>38</v>
      </c>
    </row>
    <row r="35">
      <c r="A35" t="s">
        <v>39</v>
      </c>
    </row>
    <row r="36">
      <c r="A36" t="s">
        <v>40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2026-03-01T09:56:52Z</dcterms:created>
  <dc:title/>
  <dc:subject/>
  <dc:creator/>
  <cp:lastModifiedBy/>
  <cp:keywords/>
  <dc:description/>
  <cp:category/>
  <dc:language>en-US</dc:language>
  <dcterms:modified xsi:type="dcterms:W3CDTF">2026-03-01T09:56:52Z</dcterms:modified>
  <cp:revision>1</cp:revision>
</cp:coreProperties>
</file>